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q-my.sharepoint.com/personal/uqhdesi1_uq_edu_au/Documents/Documents/PHD/PHD Year 3/Simulation 1 -Synchronizing areas/For Github/"/>
    </mc:Choice>
  </mc:AlternateContent>
  <xr:revisionPtr revIDLastSave="205" documentId="11_B7233CB59F214C287191361D751CC7BC985BA660" xr6:coauthVersionLast="47" xr6:coauthVersionMax="47" xr10:uidLastSave="{D8F4D950-5F1B-4F05-AF56-327655CD5C69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I22" i="1"/>
  <c r="I23" i="1"/>
  <c r="I24" i="1"/>
  <c r="I13" i="1"/>
  <c r="I14" i="1"/>
  <c r="I15" i="1"/>
  <c r="I16" i="1"/>
  <c r="I17" i="1"/>
  <c r="I18" i="1"/>
  <c r="I19" i="1"/>
  <c r="I20" i="1"/>
  <c r="I12" i="1"/>
</calcChain>
</file>

<file path=xl/sharedStrings.xml><?xml version="1.0" encoding="utf-8"?>
<sst xmlns="http://schemas.openxmlformats.org/spreadsheetml/2006/main" count="49" uniqueCount="49">
  <si>
    <t>Transformer</t>
  </si>
  <si>
    <t>From Bus</t>
  </si>
  <si>
    <t>To Bus</t>
  </si>
  <si>
    <t>Sr 
(MVA)</t>
  </si>
  <si>
    <t>Ur HV 
(kV)</t>
  </si>
  <si>
    <t>Ur LV 
(kV)</t>
  </si>
  <si>
    <t>Z 
(p.u.)</t>
  </si>
  <si>
    <t>uk 
(%)</t>
  </si>
  <si>
    <t>ukr 
(%)</t>
  </si>
  <si>
    <t>R1
(p.u.)</t>
  </si>
  <si>
    <t>X1 
(p.u.)</t>
  </si>
  <si>
    <t>Trf TX 12-11</t>
  </si>
  <si>
    <t>Trf TX 12-13</t>
  </si>
  <si>
    <t>Trf TX 06-31</t>
  </si>
  <si>
    <t>Trf TX 10-32</t>
  </si>
  <si>
    <t>Trf TX 19-33</t>
  </si>
  <si>
    <t>Trf TX 20-34</t>
  </si>
  <si>
    <t>Trf TX 22-35</t>
  </si>
  <si>
    <t>Trf TX 23-36</t>
  </si>
  <si>
    <t>Trf TX 25-37</t>
  </si>
  <si>
    <t>Trf TX 02-30</t>
  </si>
  <si>
    <t>Trf TX 29-38</t>
  </si>
  <si>
    <t>Trf TX 19-20</t>
  </si>
  <si>
    <t>Trf BESS01 LV-31</t>
  </si>
  <si>
    <t>Trf BESS02 LV-30</t>
  </si>
  <si>
    <t>Trf BESS03 LV-34</t>
  </si>
  <si>
    <t>BESS01 LV</t>
  </si>
  <si>
    <t>BESS02 LV</t>
  </si>
  <si>
    <t>BESS03 LV</t>
  </si>
  <si>
    <t>Trf PV01</t>
  </si>
  <si>
    <t>Trf PV02</t>
  </si>
  <si>
    <t>Trf PV03</t>
  </si>
  <si>
    <t>Trf PV04</t>
  </si>
  <si>
    <t>Trf PV01MV-06</t>
  </si>
  <si>
    <t>Trf PV02MV-02</t>
  </si>
  <si>
    <t>Trf PV03MV -19</t>
  </si>
  <si>
    <t>Trf PV04MV -23</t>
  </si>
  <si>
    <t>PV 01_MV</t>
  </si>
  <si>
    <t>PV 02_MV</t>
  </si>
  <si>
    <t>PV 03_MV</t>
  </si>
  <si>
    <t>PV 04_MV</t>
  </si>
  <si>
    <t>PV 01_LV</t>
  </si>
  <si>
    <t>PV 02_LV</t>
  </si>
  <si>
    <t>PV 03_LV</t>
  </si>
  <si>
    <t>PV 04_LV</t>
  </si>
  <si>
    <t>PV01 MV</t>
  </si>
  <si>
    <t>PV02 MV</t>
  </si>
  <si>
    <t>PV03 MV</t>
  </si>
  <si>
    <t>PV04 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</si>
</sst>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J17" sqref="J17"/>
    </sheetView>
  </sheetViews>
  <sheetFormatPr defaultRowHeight="15" x14ac:dyDescent="0.25"/>
  <cols>
    <col min="1" max="1" width="15.42578125" customWidth="1"/>
    <col min="2" max="2" width="10.5703125" customWidth="1"/>
    <col min="3" max="3" width="11.5703125" customWidth="1"/>
    <col min="5" max="5" width="10.28515625" customWidth="1"/>
    <col min="6" max="6" width="10.140625" customWidth="1"/>
    <col min="9" max="9" width="10.140625" customWidth="1"/>
  </cols>
  <sheetData>
    <row r="1" spans="1:11" s="3" customFormat="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10</v>
      </c>
      <c r="I1" s="4" t="s">
        <v>6</v>
      </c>
      <c r="J1" s="4" t="s">
        <v>7</v>
      </c>
      <c r="K1" s="4" t="s">
        <v>8</v>
      </c>
    </row>
    <row r="2" spans="1:11" x14ac:dyDescent="0.25">
      <c r="A2" s="2" t="s">
        <v>11</v>
      </c>
      <c r="B2" s="2">
        <v>12</v>
      </c>
      <c r="C2" s="2">
        <v>11</v>
      </c>
      <c r="D2" s="2">
        <v>300</v>
      </c>
      <c r="E2" s="2">
        <v>345</v>
      </c>
      <c r="F2" s="2">
        <v>138</v>
      </c>
      <c r="G2" s="2">
        <v>4.7999999999999996E-3</v>
      </c>
      <c r="H2" s="2">
        <v>0.1305</v>
      </c>
      <c r="I2" s="2">
        <v>0.13059999999999999</v>
      </c>
      <c r="J2" s="2">
        <v>13.058820000000001</v>
      </c>
      <c r="K2" s="2">
        <v>0.48</v>
      </c>
    </row>
    <row r="3" spans="1:11" x14ac:dyDescent="0.25">
      <c r="A3" s="2" t="s">
        <v>12</v>
      </c>
      <c r="B3" s="2">
        <v>12</v>
      </c>
      <c r="C3" s="2">
        <v>13</v>
      </c>
      <c r="D3" s="2">
        <v>300</v>
      </c>
      <c r="E3" s="2">
        <v>345</v>
      </c>
      <c r="F3" s="2">
        <v>138</v>
      </c>
      <c r="G3" s="2">
        <v>4.7999999999999996E-3</v>
      </c>
      <c r="H3" s="2">
        <v>0.1305</v>
      </c>
      <c r="I3" s="2">
        <v>0.13059999999999999</v>
      </c>
      <c r="J3" s="2">
        <v>13.058820000000001</v>
      </c>
      <c r="K3" s="2">
        <v>0.48</v>
      </c>
    </row>
    <row r="4" spans="1:11" x14ac:dyDescent="0.25">
      <c r="A4" s="2" t="s">
        <v>13</v>
      </c>
      <c r="B4" s="2">
        <v>6</v>
      </c>
      <c r="C4" s="2">
        <v>31</v>
      </c>
      <c r="D4" s="2">
        <v>700</v>
      </c>
      <c r="E4" s="2">
        <v>345</v>
      </c>
      <c r="F4" s="2">
        <v>20</v>
      </c>
      <c r="G4" s="2">
        <v>0</v>
      </c>
      <c r="H4" s="2">
        <v>0.17499999999999999</v>
      </c>
      <c r="I4" s="2">
        <v>0.17499999999999999</v>
      </c>
      <c r="J4" s="2">
        <v>17.5</v>
      </c>
      <c r="K4" s="2">
        <v>0</v>
      </c>
    </row>
    <row r="5" spans="1:11" x14ac:dyDescent="0.25">
      <c r="A5" s="2" t="s">
        <v>14</v>
      </c>
      <c r="B5" s="2">
        <v>10</v>
      </c>
      <c r="C5" s="2">
        <v>32</v>
      </c>
      <c r="D5" s="2">
        <v>800</v>
      </c>
      <c r="E5" s="2">
        <v>345</v>
      </c>
      <c r="F5" s="2">
        <v>20</v>
      </c>
      <c r="G5" s="2">
        <v>0</v>
      </c>
      <c r="H5" s="2">
        <v>0.16</v>
      </c>
      <c r="I5" s="2">
        <v>0.16</v>
      </c>
      <c r="J5" s="2">
        <v>16</v>
      </c>
      <c r="K5" s="2">
        <v>0</v>
      </c>
    </row>
    <row r="6" spans="1:11" x14ac:dyDescent="0.25">
      <c r="A6" s="2" t="s">
        <v>15</v>
      </c>
      <c r="B6" s="2">
        <v>19</v>
      </c>
      <c r="C6" s="2">
        <v>33</v>
      </c>
      <c r="D6" s="2">
        <v>800</v>
      </c>
      <c r="E6" s="2">
        <v>345</v>
      </c>
      <c r="F6" s="2">
        <v>33</v>
      </c>
      <c r="G6" s="2">
        <v>5.5999999999999999E-3</v>
      </c>
      <c r="H6" s="2">
        <v>0.11360000000000001</v>
      </c>
      <c r="I6" s="2">
        <v>0.1137</v>
      </c>
      <c r="J6" s="2">
        <v>11.37379</v>
      </c>
      <c r="K6" s="2">
        <v>0.56000000000000005</v>
      </c>
    </row>
    <row r="7" spans="1:11" x14ac:dyDescent="0.25">
      <c r="A7" s="2" t="s">
        <v>16</v>
      </c>
      <c r="B7" s="2">
        <v>20</v>
      </c>
      <c r="C7" s="2">
        <v>34</v>
      </c>
      <c r="D7" s="2">
        <v>600</v>
      </c>
      <c r="E7" s="2">
        <v>230</v>
      </c>
      <c r="F7" s="2">
        <v>20</v>
      </c>
      <c r="G7" s="2">
        <v>5.4000000000000003E-3</v>
      </c>
      <c r="H7" s="2">
        <v>0.108</v>
      </c>
      <c r="I7" s="2">
        <v>0.1081</v>
      </c>
      <c r="J7" s="2">
        <v>10.81349</v>
      </c>
      <c r="K7" s="2">
        <v>0.54</v>
      </c>
    </row>
    <row r="8" spans="1:11" x14ac:dyDescent="0.25">
      <c r="A8" s="2" t="s">
        <v>17</v>
      </c>
      <c r="B8" s="2">
        <v>22</v>
      </c>
      <c r="C8" s="2">
        <v>35</v>
      </c>
      <c r="D8" s="2">
        <v>800</v>
      </c>
      <c r="E8" s="2">
        <v>345</v>
      </c>
      <c r="F8" s="2">
        <v>20</v>
      </c>
      <c r="G8" s="2">
        <v>0</v>
      </c>
      <c r="H8" s="2">
        <v>0.1144</v>
      </c>
      <c r="I8" s="2">
        <v>0.1144</v>
      </c>
      <c r="J8" s="2">
        <v>11.44</v>
      </c>
      <c r="K8" s="2">
        <v>0</v>
      </c>
    </row>
    <row r="9" spans="1:11" x14ac:dyDescent="0.25">
      <c r="A9" s="2" t="s">
        <v>18</v>
      </c>
      <c r="B9" s="2">
        <v>23</v>
      </c>
      <c r="C9" s="2">
        <v>36</v>
      </c>
      <c r="D9" s="2">
        <v>700</v>
      </c>
      <c r="E9" s="2">
        <v>345</v>
      </c>
      <c r="F9" s="2">
        <v>33</v>
      </c>
      <c r="G9" s="2">
        <v>3.5000000000000001E-3</v>
      </c>
      <c r="H9" s="2">
        <v>0.19040000000000001</v>
      </c>
      <c r="I9" s="2">
        <v>0.19040000000000001</v>
      </c>
      <c r="J9" s="2">
        <v>19.043220000000002</v>
      </c>
      <c r="K9" s="2">
        <v>0.35</v>
      </c>
    </row>
    <row r="10" spans="1:11" x14ac:dyDescent="0.25">
      <c r="A10" s="2" t="s">
        <v>19</v>
      </c>
      <c r="B10" s="2">
        <v>25</v>
      </c>
      <c r="C10" s="2">
        <v>37</v>
      </c>
      <c r="D10" s="2">
        <v>700</v>
      </c>
      <c r="E10" s="2">
        <v>345</v>
      </c>
      <c r="F10" s="2">
        <v>20</v>
      </c>
      <c r="G10" s="2">
        <v>4.1999999999999997E-3</v>
      </c>
      <c r="H10" s="2">
        <v>0.16239999999999999</v>
      </c>
      <c r="I10" s="2">
        <v>0.16250000000000001</v>
      </c>
      <c r="J10" s="2">
        <v>6.2454299999999998</v>
      </c>
      <c r="K10" s="2">
        <v>0.42</v>
      </c>
    </row>
    <row r="11" spans="1:11" x14ac:dyDescent="0.25">
      <c r="A11" s="2" t="s">
        <v>20</v>
      </c>
      <c r="B11" s="2">
        <v>2</v>
      </c>
      <c r="C11" s="2">
        <v>30</v>
      </c>
      <c r="D11" s="2">
        <v>1000</v>
      </c>
      <c r="E11" s="2">
        <v>345</v>
      </c>
      <c r="F11" s="2">
        <v>20</v>
      </c>
      <c r="G11" s="2">
        <v>0</v>
      </c>
      <c r="H11" s="2">
        <v>0.18099999999999999</v>
      </c>
      <c r="I11" s="2">
        <v>0.18099999999999999</v>
      </c>
      <c r="J11" s="2">
        <v>18.100000000000001</v>
      </c>
      <c r="K11" s="2">
        <v>0</v>
      </c>
    </row>
    <row r="12" spans="1:11" x14ac:dyDescent="0.25">
      <c r="A12" s="2" t="s">
        <v>21</v>
      </c>
      <c r="B12" s="2">
        <v>29</v>
      </c>
      <c r="C12" s="2">
        <v>38</v>
      </c>
      <c r="D12" s="2">
        <v>1000</v>
      </c>
      <c r="E12" s="2">
        <v>345</v>
      </c>
      <c r="F12" s="2">
        <v>20</v>
      </c>
      <c r="G12" s="2">
        <v>8.0000000000000002E-3</v>
      </c>
      <c r="H12" s="2">
        <v>0.156</v>
      </c>
      <c r="I12" s="7">
        <f>SQRT(G12^2+H12^2)</f>
        <v>0.15620499351813311</v>
      </c>
      <c r="J12" s="2">
        <v>15.6205</v>
      </c>
      <c r="K12" s="2">
        <v>0.8</v>
      </c>
    </row>
    <row r="13" spans="1:11" x14ac:dyDescent="0.25">
      <c r="A13" s="2" t="s">
        <v>22</v>
      </c>
      <c r="B13" s="2">
        <v>19</v>
      </c>
      <c r="C13" s="2">
        <v>20</v>
      </c>
      <c r="D13" s="2">
        <v>1000</v>
      </c>
      <c r="E13" s="2">
        <v>345</v>
      </c>
      <c r="F13" s="2">
        <v>230</v>
      </c>
      <c r="G13" s="2">
        <v>7.0000000000000001E-3</v>
      </c>
      <c r="H13" s="2">
        <v>0.13800000000000001</v>
      </c>
      <c r="I13" s="7">
        <f t="shared" ref="I13:I24" si="0">SQRT(G13^2+H13^2)</f>
        <v>0.13817742217887843</v>
      </c>
      <c r="J13" s="2">
        <v>13.817740000000001</v>
      </c>
      <c r="K13" s="2">
        <v>0.7</v>
      </c>
    </row>
    <row r="14" spans="1:11" x14ac:dyDescent="0.25">
      <c r="A14" s="2" t="s">
        <v>23</v>
      </c>
      <c r="B14" s="2">
        <v>31</v>
      </c>
      <c r="C14" s="5" t="s">
        <v>26</v>
      </c>
      <c r="D14" s="1">
        <v>750</v>
      </c>
      <c r="E14" s="1">
        <v>20</v>
      </c>
      <c r="F14" s="1">
        <v>0.69</v>
      </c>
      <c r="G14" s="1">
        <v>1.4E-3</v>
      </c>
      <c r="H14" s="1">
        <v>5.8999999999999997E-2</v>
      </c>
      <c r="I14" s="7">
        <f t="shared" si="0"/>
        <v>5.9016607832033177E-2</v>
      </c>
      <c r="J14" s="1">
        <v>6</v>
      </c>
      <c r="K14" s="1">
        <v>0.14000000000000001</v>
      </c>
    </row>
    <row r="15" spans="1:11" x14ac:dyDescent="0.25">
      <c r="A15" s="2" t="s">
        <v>24</v>
      </c>
      <c r="B15" s="2">
        <v>30</v>
      </c>
      <c r="C15" s="5" t="s">
        <v>27</v>
      </c>
      <c r="D15" s="1">
        <v>125</v>
      </c>
      <c r="E15" s="1">
        <v>20</v>
      </c>
      <c r="F15" s="1">
        <v>0.69</v>
      </c>
      <c r="G15" s="1">
        <v>1.4E-3</v>
      </c>
      <c r="H15" s="1">
        <v>5.8999999999999997E-2</v>
      </c>
      <c r="I15" s="7">
        <f t="shared" si="0"/>
        <v>5.9016607832033177E-2</v>
      </c>
      <c r="J15" s="1">
        <v>6</v>
      </c>
      <c r="K15" s="1">
        <v>0.14000000000000001</v>
      </c>
    </row>
    <row r="16" spans="1:11" x14ac:dyDescent="0.25">
      <c r="A16" s="2" t="s">
        <v>25</v>
      </c>
      <c r="B16" s="2">
        <v>34</v>
      </c>
      <c r="C16" s="5" t="s">
        <v>28</v>
      </c>
      <c r="D16" s="1">
        <v>500</v>
      </c>
      <c r="E16" s="1">
        <v>20</v>
      </c>
      <c r="F16" s="1">
        <v>0.69</v>
      </c>
      <c r="G16" s="1">
        <v>1.4E-3</v>
      </c>
      <c r="H16" s="1">
        <v>5.8999999999999997E-2</v>
      </c>
      <c r="I16" s="7">
        <f t="shared" si="0"/>
        <v>5.9016607832033177E-2</v>
      </c>
      <c r="J16" s="1">
        <v>6</v>
      </c>
      <c r="K16" s="1">
        <v>0.14000000000000001</v>
      </c>
    </row>
    <row r="17" spans="1:11" x14ac:dyDescent="0.25">
      <c r="A17" s="2" t="s">
        <v>29</v>
      </c>
      <c r="B17" s="6" t="s">
        <v>37</v>
      </c>
      <c r="C17" s="6" t="s">
        <v>41</v>
      </c>
      <c r="D17" s="1">
        <v>600</v>
      </c>
      <c r="E17" s="1">
        <v>33</v>
      </c>
      <c r="F17" s="1">
        <v>0.69</v>
      </c>
      <c r="G17" s="1">
        <v>1.4E-3</v>
      </c>
      <c r="H17" s="1">
        <v>5.8999999999999997E-2</v>
      </c>
      <c r="I17" s="7">
        <f t="shared" si="0"/>
        <v>5.9016607832033177E-2</v>
      </c>
      <c r="J17" s="1">
        <v>6</v>
      </c>
      <c r="K17" s="1">
        <v>0.14000000000000001</v>
      </c>
    </row>
    <row r="18" spans="1:11" x14ac:dyDescent="0.25">
      <c r="A18" s="2" t="s">
        <v>30</v>
      </c>
      <c r="B18" s="6" t="s">
        <v>38</v>
      </c>
      <c r="C18" s="6" t="s">
        <v>42</v>
      </c>
      <c r="D18" s="1">
        <v>200</v>
      </c>
      <c r="E18" s="1">
        <v>33</v>
      </c>
      <c r="F18" s="1">
        <v>0.69</v>
      </c>
      <c r="G18" s="1">
        <v>1.4E-3</v>
      </c>
      <c r="H18" s="1">
        <v>5.8999999999999997E-2</v>
      </c>
      <c r="I18" s="7">
        <f t="shared" si="0"/>
        <v>5.9016607832033177E-2</v>
      </c>
      <c r="J18" s="1">
        <v>6</v>
      </c>
      <c r="K18" s="1">
        <v>0.14000000000000001</v>
      </c>
    </row>
    <row r="19" spans="1:11" x14ac:dyDescent="0.25">
      <c r="A19" s="2" t="s">
        <v>31</v>
      </c>
      <c r="B19" s="6" t="s">
        <v>39</v>
      </c>
      <c r="C19" s="6" t="s">
        <v>43</v>
      </c>
      <c r="D19" s="1">
        <v>110</v>
      </c>
      <c r="E19" s="1">
        <v>33</v>
      </c>
      <c r="F19" s="1">
        <v>0.69</v>
      </c>
      <c r="G19" s="1">
        <v>1.4E-3</v>
      </c>
      <c r="H19" s="1">
        <v>5.8999999999999997E-2</v>
      </c>
      <c r="I19" s="7">
        <f t="shared" si="0"/>
        <v>5.9016607832033177E-2</v>
      </c>
      <c r="J19" s="1">
        <v>6</v>
      </c>
      <c r="K19" s="1">
        <v>0.14000000000000001</v>
      </c>
    </row>
    <row r="20" spans="1:11" x14ac:dyDescent="0.25">
      <c r="A20" s="2" t="s">
        <v>32</v>
      </c>
      <c r="B20" s="6" t="s">
        <v>40</v>
      </c>
      <c r="C20" s="6" t="s">
        <v>44</v>
      </c>
      <c r="D20" s="1">
        <v>600</v>
      </c>
      <c r="E20" s="1">
        <v>33</v>
      </c>
      <c r="F20" s="1">
        <v>0.69</v>
      </c>
      <c r="G20" s="1">
        <v>1.4E-3</v>
      </c>
      <c r="H20" s="1">
        <v>5.8999999999999997E-2</v>
      </c>
      <c r="I20" s="7">
        <f t="shared" si="0"/>
        <v>5.9016607832033177E-2</v>
      </c>
      <c r="J20" s="1">
        <v>6</v>
      </c>
      <c r="K20" s="1">
        <v>0.14000000000000001</v>
      </c>
    </row>
    <row r="21" spans="1:11" x14ac:dyDescent="0.25">
      <c r="A21" s="2" t="s">
        <v>33</v>
      </c>
      <c r="B21" s="1" t="s">
        <v>45</v>
      </c>
      <c r="C21" s="1">
        <v>6</v>
      </c>
      <c r="D21" s="1">
        <v>600</v>
      </c>
      <c r="E21" s="1">
        <v>345</v>
      </c>
      <c r="F21" s="1">
        <v>33</v>
      </c>
      <c r="G21" s="1">
        <v>4.0000000000000002E-4</v>
      </c>
      <c r="H21" s="1">
        <v>0.09</v>
      </c>
      <c r="I21" s="7">
        <f>SQRT(G21^2+H21^2)</f>
        <v>9.0000888884499364E-2</v>
      </c>
      <c r="J21" s="1">
        <v>10</v>
      </c>
      <c r="K21" s="1">
        <v>0.04</v>
      </c>
    </row>
    <row r="22" spans="1:11" x14ac:dyDescent="0.25">
      <c r="A22" s="2" t="s">
        <v>34</v>
      </c>
      <c r="B22" s="1" t="s">
        <v>46</v>
      </c>
      <c r="C22" s="1">
        <v>2</v>
      </c>
      <c r="D22" s="1">
        <v>200</v>
      </c>
      <c r="E22" s="1">
        <v>345</v>
      </c>
      <c r="F22" s="1">
        <v>33</v>
      </c>
      <c r="G22" s="1">
        <v>4.0000000000000002E-4</v>
      </c>
      <c r="H22" s="1">
        <v>0.09</v>
      </c>
      <c r="I22" s="7">
        <f t="shared" si="0"/>
        <v>9.0000888884499364E-2</v>
      </c>
      <c r="J22" s="1">
        <v>10</v>
      </c>
      <c r="K22" s="1">
        <v>0.04</v>
      </c>
    </row>
    <row r="23" spans="1:11" x14ac:dyDescent="0.25">
      <c r="A23" s="2" t="s">
        <v>35</v>
      </c>
      <c r="B23" s="1" t="s">
        <v>47</v>
      </c>
      <c r="C23" s="1">
        <v>19</v>
      </c>
      <c r="D23" s="1">
        <v>110</v>
      </c>
      <c r="E23" s="1">
        <v>345</v>
      </c>
      <c r="F23" s="1">
        <v>33</v>
      </c>
      <c r="G23" s="1">
        <v>4.0000000000000002E-4</v>
      </c>
      <c r="H23" s="1">
        <v>0.09</v>
      </c>
      <c r="I23" s="7">
        <f t="shared" si="0"/>
        <v>9.0000888884499364E-2</v>
      </c>
      <c r="J23" s="1">
        <v>10</v>
      </c>
      <c r="K23" s="1">
        <v>0.04</v>
      </c>
    </row>
    <row r="24" spans="1:11" x14ac:dyDescent="0.25">
      <c r="A24" s="2" t="s">
        <v>36</v>
      </c>
      <c r="B24" s="1" t="s">
        <v>48</v>
      </c>
      <c r="C24" s="1">
        <v>23</v>
      </c>
      <c r="D24" s="1">
        <v>600</v>
      </c>
      <c r="E24" s="1">
        <v>345</v>
      </c>
      <c r="F24" s="1">
        <v>33</v>
      </c>
      <c r="G24" s="1">
        <v>4.0000000000000002E-4</v>
      </c>
      <c r="H24" s="1">
        <v>0.09</v>
      </c>
      <c r="I24" s="7">
        <f t="shared" si="0"/>
        <v>9.0000888884499364E-2</v>
      </c>
      <c r="J24" s="1">
        <v>10</v>
      </c>
      <c r="K24" s="1">
        <v>0.04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Hasini De Silva</cp:lastModifiedBy>
  <dcterms:created xsi:type="dcterms:W3CDTF">2025-10-20T05:12:21Z</dcterms:created>
  <dcterms:modified xsi:type="dcterms:W3CDTF">2026-01-20T08:11:26Z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2025-10-20T05:15:10Z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e02a720e-4c51-4b54-ba6f-03a31be0428e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